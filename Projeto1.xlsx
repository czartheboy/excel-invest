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JC\Excel\Bootcamp\"/>
    </mc:Choice>
  </mc:AlternateContent>
  <xr:revisionPtr revIDLastSave="0" documentId="13_ncr:1_{16C11DE5-D567-4BC5-97C2-86DFF80BF02D}" xr6:coauthVersionLast="47" xr6:coauthVersionMax="47" xr10:uidLastSave="{00000000-0000-0000-0000-000000000000}"/>
  <bookViews>
    <workbookView xWindow="20370" yWindow="-120" windowWidth="15600" windowHeight="11760" xr2:uid="{B3272EB1-247D-4A62-93C0-5D85A7440E88}"/>
  </bookViews>
  <sheets>
    <sheet name="Planilha1" sheetId="1" r:id="rId1"/>
    <sheet name="Planilha3" sheetId="3" r:id="rId2"/>
    <sheet name="Planilha2" sheetId="2" r:id="rId3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D25" i="1" s="1"/>
  <c r="C51" i="1"/>
  <c r="C52" i="1"/>
  <c r="C53" i="1"/>
  <c r="C54" i="1"/>
  <c r="C55" i="1"/>
  <c r="C50" i="1"/>
  <c r="H4" i="3"/>
  <c r="B9" i="3"/>
  <c r="B10" i="3"/>
  <c r="B11" i="3"/>
  <c r="B12" i="3"/>
  <c r="B13" i="3"/>
  <c r="B14" i="3"/>
  <c r="B15" i="3"/>
  <c r="B16" i="3"/>
  <c r="B17" i="3"/>
  <c r="B18" i="3"/>
  <c r="B19" i="3"/>
  <c r="B20" i="3"/>
  <c r="B4" i="3"/>
  <c r="B5" i="3"/>
  <c r="B6" i="3"/>
  <c r="B7" i="3"/>
  <c r="B8" i="3"/>
  <c r="B3" i="3"/>
  <c r="C47" i="1"/>
  <c r="D21" i="1"/>
  <c r="D22" i="1" s="1"/>
  <c r="D15" i="1"/>
  <c r="C26" i="1"/>
  <c r="D26" i="1" s="1"/>
  <c r="C27" i="1"/>
  <c r="D27" i="1" s="1"/>
  <c r="C28" i="1"/>
  <c r="D28" i="1" s="1"/>
  <c r="C29" i="1"/>
  <c r="D29" i="1" s="1"/>
  <c r="D54" i="1" l="1"/>
  <c r="D53" i="1"/>
  <c r="D52" i="1"/>
  <c r="D51" i="1"/>
  <c r="D50" i="1"/>
  <c r="D55" i="1"/>
  <c r="D56" i="1" l="1"/>
</calcChain>
</file>

<file path=xl/sharedStrings.xml><?xml version="1.0" encoding="utf-8"?>
<sst xmlns="http://schemas.openxmlformats.org/spreadsheetml/2006/main" count="101" uniqueCount="63">
  <si>
    <t>Quanto investir por mês?</t>
  </si>
  <si>
    <t>Por Quantos Anos?</t>
  </si>
  <si>
    <t>Patrimônio acumulado?</t>
  </si>
  <si>
    <t>Dividendos Mensais?</t>
  </si>
  <si>
    <t>INVESTIMENTO MENSAL</t>
  </si>
  <si>
    <t>Quanto em 2 Anos?</t>
  </si>
  <si>
    <t>Quanto em 5 Anos?</t>
  </si>
  <si>
    <t>Quanto em 20 Anos?</t>
  </si>
  <si>
    <t>Quanto em 10 Anos?</t>
  </si>
  <si>
    <t>Quanto em 30 Anos?</t>
  </si>
  <si>
    <t>Cenários</t>
  </si>
  <si>
    <t>Dividendo</t>
  </si>
  <si>
    <t xml:space="preserve"> </t>
  </si>
  <si>
    <t>Salário</t>
  </si>
  <si>
    <t>Rendimento Carteira</t>
  </si>
  <si>
    <t>CONFIRGURAÇÕES</t>
  </si>
  <si>
    <t>Tipo de FII</t>
  </si>
  <si>
    <t>Descrição</t>
  </si>
  <si>
    <t>Exemplos de Ativos</t>
  </si>
  <si>
    <t>FII de Tijolo</t>
  </si>
  <si>
    <t>Investem diretamente em imóveis físicos com o objetivo de geração de renda com aluguel.</t>
  </si>
  <si>
    <t>Shoppings, galpões logísticos, escritórios, hospitais</t>
  </si>
  <si>
    <t>FII de Papel</t>
  </si>
  <si>
    <t>Investem em títulos e valores mobiliários ligados ao setor imobiliário</t>
  </si>
  <si>
    <t>CRIs (Certificados de Recebíveis Imobiliários), LCIs, cotas de outso FIIs</t>
  </si>
  <si>
    <t>FII Híbrido</t>
  </si>
  <si>
    <t>Combina ativos de tijolo e de papel, buscando diversificação e maior flexibilidade.</t>
  </si>
  <si>
    <t>Combinação de imóveis e CRIs, por exemplo</t>
  </si>
  <si>
    <t>FII de Desenvolvimento</t>
  </si>
  <si>
    <t>Focados na construção ou incorporação de imóveis para posterior venda ou locação.</t>
  </si>
  <si>
    <t>Loteamentos, prédios residenciais/comerciais em construção</t>
  </si>
  <si>
    <t>FII de Fundos (FOF)</t>
  </si>
  <si>
    <t>Investe em cotas de outros FIIs, funcionando como um fundo de fundos.</t>
  </si>
  <si>
    <t>Carteiras diversificadas de FIIs</t>
  </si>
  <si>
    <t>FII de Agências Bancárias</t>
  </si>
  <si>
    <t>Investe em imóveis alugados para instituições financeiras.</t>
  </si>
  <si>
    <t>Agências do Banco do Brasil, Caixa, etc.</t>
  </si>
  <si>
    <t>FII de Hospitalidade</t>
  </si>
  <si>
    <t>Focado em imóveis do setor hoteleiro e de turismo.</t>
  </si>
  <si>
    <t>Hotéis, resorts</t>
  </si>
  <si>
    <t>FII Logístico/Industrial</t>
  </si>
  <si>
    <t>Especializados em imóveis voltados a armazenamento, distruibuição e produção.</t>
  </si>
  <si>
    <t>Centros de distruibuição, galpões industriais</t>
  </si>
  <si>
    <t>Perfil</t>
  </si>
  <si>
    <t>Moderado</t>
  </si>
  <si>
    <t>Conservador</t>
  </si>
  <si>
    <t>Agressivo</t>
  </si>
  <si>
    <t>VALOR A SER INVESTIDO POR MÊS</t>
  </si>
  <si>
    <t>TIPO DE FII</t>
  </si>
  <si>
    <t>Percentual Sugerido</t>
  </si>
  <si>
    <t>Valores</t>
  </si>
  <si>
    <t>TIJOLO</t>
  </si>
  <si>
    <t>PAPEL</t>
  </si>
  <si>
    <t>HÍBRIDOS</t>
  </si>
  <si>
    <t>FOFs</t>
  </si>
  <si>
    <t>DESENVOLVIMENTO</t>
  </si>
  <si>
    <t>HOTELARIAS</t>
  </si>
  <si>
    <t>PERFIL</t>
  </si>
  <si>
    <t>%</t>
  </si>
  <si>
    <t>CHAVE</t>
  </si>
  <si>
    <t>Moderado-TIJOLO</t>
  </si>
  <si>
    <t>Sugestão de Investimento (30%)</t>
  </si>
  <si>
    <t>Taxa de Rendimento Mensal?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</si>
</sst>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6" fillId="3" borderId="2" xfId="0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0" fontId="10" fillId="0" borderId="12" xfId="2" applyNumberFormat="1" applyFont="1" applyFill="1" applyBorder="1" applyAlignment="1">
      <alignment horizontal="center"/>
    </xf>
    <xf numFmtId="8" fontId="10" fillId="0" borderId="12" xfId="0" applyNumberFormat="1" applyFont="1" applyBorder="1" applyAlignment="1">
      <alignment horizontal="center"/>
    </xf>
    <xf numFmtId="8" fontId="10" fillId="0" borderId="14" xfId="0" applyNumberFormat="1" applyFont="1" applyBorder="1" applyAlignment="1">
      <alignment horizontal="center"/>
    </xf>
    <xf numFmtId="0" fontId="8" fillId="6" borderId="17" xfId="0" applyFont="1" applyFill="1" applyBorder="1" applyAlignment="1">
      <alignment horizontal="left" indent="3"/>
    </xf>
    <xf numFmtId="8" fontId="9" fillId="6" borderId="18" xfId="0" applyNumberFormat="1" applyFont="1" applyFill="1" applyBorder="1" applyAlignment="1">
      <alignment horizontal="center"/>
    </xf>
    <xf numFmtId="8" fontId="9" fillId="6" borderId="19" xfId="0" applyNumberFormat="1" applyFont="1" applyFill="1" applyBorder="1" applyAlignment="1">
      <alignment horizontal="center"/>
    </xf>
    <xf numFmtId="0" fontId="8" fillId="6" borderId="3" xfId="0" applyFont="1" applyFill="1" applyBorder="1" applyAlignment="1">
      <alignment horizontal="left" indent="3"/>
    </xf>
    <xf numFmtId="8" fontId="9" fillId="6" borderId="4" xfId="0" applyNumberFormat="1" applyFont="1" applyFill="1" applyBorder="1" applyAlignment="1">
      <alignment horizontal="center"/>
    </xf>
    <xf numFmtId="8" fontId="9" fillId="6" borderId="5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left" indent="3"/>
    </xf>
    <xf numFmtId="8" fontId="9" fillId="6" borderId="7" xfId="0" applyNumberFormat="1" applyFont="1" applyFill="1" applyBorder="1" applyAlignment="1">
      <alignment horizontal="center"/>
    </xf>
    <xf numFmtId="8" fontId="9" fillId="6" borderId="8" xfId="0" applyNumberFormat="1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2" fillId="2" borderId="0" xfId="3" applyBorder="1" applyAlignment="1">
      <alignment horizontal="left"/>
    </xf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164" fontId="3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3" fillId="3" borderId="24" xfId="3" applyFont="1" applyFill="1" applyBorder="1" applyAlignment="1">
      <alignment horizontal="center"/>
    </xf>
    <xf numFmtId="9" fontId="12" fillId="8" borderId="24" xfId="2" applyFont="1" applyFill="1" applyBorder="1" applyAlignment="1">
      <alignment horizontal="center"/>
    </xf>
    <xf numFmtId="0" fontId="13" fillId="10" borderId="0" xfId="0" applyFont="1" applyFill="1"/>
    <xf numFmtId="0" fontId="13" fillId="1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4" fontId="7" fillId="5" borderId="1" xfId="1" applyFont="1" applyFill="1" applyBorder="1" applyAlignment="1">
      <alignment horizontal="center" vertical="center"/>
    </xf>
    <xf numFmtId="44" fontId="7" fillId="5" borderId="15" xfId="1" applyFont="1" applyFill="1" applyBorder="1" applyAlignment="1">
      <alignment horizontal="center" vertical="center"/>
    </xf>
    <xf numFmtId="44" fontId="7" fillId="5" borderId="2" xfId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left" indent="3"/>
    </xf>
    <xf numFmtId="0" fontId="8" fillId="6" borderId="21" xfId="0" applyFont="1" applyFill="1" applyBorder="1" applyAlignment="1">
      <alignment horizontal="left" indent="3"/>
    </xf>
    <xf numFmtId="0" fontId="11" fillId="7" borderId="11" xfId="0" applyFont="1" applyFill="1" applyBorder="1" applyAlignment="1">
      <alignment horizontal="left" indent="3"/>
    </xf>
    <xf numFmtId="0" fontId="11" fillId="7" borderId="21" xfId="0" applyFont="1" applyFill="1" applyBorder="1" applyAlignment="1">
      <alignment horizontal="left" indent="3"/>
    </xf>
    <xf numFmtId="0" fontId="11" fillId="7" borderId="13" xfId="0" applyFont="1" applyFill="1" applyBorder="1" applyAlignment="1">
      <alignment horizontal="left" indent="3"/>
    </xf>
    <xf numFmtId="0" fontId="11" fillId="7" borderId="22" xfId="0" applyFont="1" applyFill="1" applyBorder="1" applyAlignment="1">
      <alignment horizontal="left" indent="3"/>
    </xf>
    <xf numFmtId="0" fontId="8" fillId="6" borderId="9" xfId="0" applyFont="1" applyFill="1" applyBorder="1" applyAlignment="1">
      <alignment horizontal="left" indent="3"/>
    </xf>
    <xf numFmtId="0" fontId="8" fillId="6" borderId="20" xfId="0" applyFont="1" applyFill="1" applyBorder="1" applyAlignment="1">
      <alignment horizontal="left" indent="3"/>
    </xf>
    <xf numFmtId="0" fontId="8" fillId="6" borderId="13" xfId="0" applyFont="1" applyFill="1" applyBorder="1" applyAlignment="1">
      <alignment horizontal="left" indent="3"/>
    </xf>
    <xf numFmtId="0" fontId="8" fillId="6" borderId="22" xfId="0" applyFont="1" applyFill="1" applyBorder="1" applyAlignment="1">
      <alignment horizontal="left" indent="3"/>
    </xf>
    <xf numFmtId="9" fontId="9" fillId="0" borderId="12" xfId="0" applyNumberFormat="1" applyFont="1" applyBorder="1" applyAlignment="1">
      <alignment horizontal="center"/>
    </xf>
  </cellXfs>
  <cellStyles count="4">
    <cellStyle name="Bom" xfId="3" builtinId="26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0789A"/>
      <color rgb="FFFBD9E3"/>
      <color rgb="FFB6B6F4"/>
      <color rgb="FF7D7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B-4DB5-9B63-B6B1F5D4EA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B-4DB5-9B63-B6B1F5D4EA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B-4DB5-9B63-B6B1F5D4EA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BB-4DB5-9B63-B6B1F5D4EA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BB-4DB5-9B63-B6B1F5D4EA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BB-4DB5-9B63-B6B1F5D4EA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Planilha1!$B$50:$B$55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Planilha1!$C$50:$C$55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3-4C53-B7BD-9CEE560EEBC5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BB-4DB5-9B63-B6B1F5D4EA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BB-4DB5-9B63-B6B1F5D4EA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BB-4DB5-9B63-B6B1F5D4EA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BB-4DB5-9B63-B6B1F5D4EA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BB-4DB5-9B63-B6B1F5D4EA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BB-4DB5-9B63-B6B1F5D4EA87}"/>
              </c:ext>
            </c:extLst>
          </c:dPt>
          <c:cat>
            <c:strRef>
              <c:f>Planilha1!$B$50:$B$55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Planilha1!$D$50:$D$55</c:f>
              <c:numCache>
                <c:formatCode>"R$"\ #,##0.00</c:formatCode>
                <c:ptCount val="6"/>
                <c:pt idx="0">
                  <c:v>160</c:v>
                </c:pt>
                <c:pt idx="1">
                  <c:v>175</c:v>
                </c:pt>
                <c:pt idx="2">
                  <c:v>40</c:v>
                </c:pt>
                <c:pt idx="3">
                  <c:v>25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3-4C53-B7BD-9CEE560EE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52723097112865"/>
          <c:y val="0.31347797826212165"/>
          <c:w val="0.17822404942744988"/>
          <c:h val="0.42320045417520302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Patrimônio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9.2724352852119968E-2"/>
                  <c:y val="-0.298576480023330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62-46E4-93A3-56E9FFA5AA04}"/>
                </c:ext>
              </c:extLst>
            </c:dLbl>
            <c:dLbl>
              <c:idx val="2"/>
              <c:layout>
                <c:manualLayout>
                  <c:x val="-8.2650423414054375E-2"/>
                  <c:y val="-0.120300743657042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62-46E4-93A3-56E9FFA5AA04}"/>
                </c:ext>
              </c:extLst>
            </c:dLbl>
            <c:dLbl>
              <c:idx val="3"/>
              <c:layout>
                <c:manualLayout>
                  <c:x val="-0.15952911546434054"/>
                  <c:y val="-0.145798702245552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62-46E4-93A3-56E9FFA5AA04}"/>
                </c:ext>
              </c:extLst>
            </c:dLbl>
            <c:dLbl>
              <c:idx val="4"/>
              <c:layout>
                <c:manualLayout>
                  <c:x val="-0.18463852395809013"/>
                  <c:y val="8.707713619130941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62-46E4-93A3-56E9FFA5AA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Planilha1!$A$25:$A$29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Planilha1!$C$25:$C$29</c:f>
              <c:numCache>
                <c:formatCode>"R$"#,##0.00_);[Red]\("R$"#,##0.00\)</c:formatCode>
                <c:ptCount val="5"/>
                <c:pt idx="0">
                  <c:v>13156.06332649959</c:v>
                </c:pt>
                <c:pt idx="1">
                  <c:v>38191.002714354283</c:v>
                </c:pt>
                <c:pt idx="2">
                  <c:v>99427.137904288073</c:v>
                </c:pt>
                <c:pt idx="3">
                  <c:v>355049.21668762161</c:v>
                </c:pt>
                <c:pt idx="4">
                  <c:v>1012240.4879923818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2-46E4-93A3-56E9FFA5AA04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518049304"/>
        <c:axId val="518050384"/>
      </c:scatterChart>
      <c:valAx>
        <c:axId val="518049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8050384"/>
        <c:crosses val="autoZero"/>
        <c:crossBetween val="midCat"/>
      </c:valAx>
      <c:valAx>
        <c:axId val="518050384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8049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Dividendos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6.6889553244347158E-2"/>
                  <c:y val="-0.252280183727034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2A-4E4F-B691-FC2B150B3704}"/>
                </c:ext>
              </c:extLst>
            </c:dLbl>
            <c:dLbl>
              <c:idx val="2"/>
              <c:layout>
                <c:manualLayout>
                  <c:x val="-5.7674007326624276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2A-4E4F-B691-FC2B150B3704}"/>
                </c:ext>
              </c:extLst>
            </c:dLbl>
            <c:dLbl>
              <c:idx val="3"/>
              <c:layout>
                <c:manualLayout>
                  <c:x val="-0.12184513032127675"/>
                  <c:y val="-0.145798702245552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2A-4E4F-B691-FC2B150B3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Planilha1!$A$25:$A$29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xVal>
          <c:yVal>
            <c:numRef>
              <c:f>Planilha1!$D$25:$D$29</c:f>
              <c:numCache>
                <c:formatCode>"R$"#,##0.00_);[Red]\("R$"#,##0.00\)</c:formatCode>
                <c:ptCount val="5"/>
                <c:pt idx="0">
                  <c:v>103.93290027934677</c:v>
                </c:pt>
                <c:pt idx="1">
                  <c:v>301.70892144339888</c:v>
                </c:pt>
                <c:pt idx="2">
                  <c:v>785.47438944387591</c:v>
                </c:pt>
                <c:pt idx="3">
                  <c:v>2804.8888118322111</c:v>
                </c:pt>
                <c:pt idx="4">
                  <c:v>7996.6998551398174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A-4E4F-B691-FC2B150B37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05499080"/>
        <c:axId val="505496560"/>
      </c:scatterChart>
      <c:valAx>
        <c:axId val="505499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Anos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496560"/>
        <c:crosses val="autoZero"/>
        <c:crossBetween val="midCat"/>
      </c:valAx>
      <c:valAx>
        <c:axId val="505496560"/>
        <c:scaling>
          <c:orientation val="minMax"/>
        </c:scaling>
        <c:delete val="0"/>
        <c:axPos val="l"/>
        <c:numFmt formatCode="&quot;R$&quot;#,##0.00_);[Red]\(&quot;R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499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95250</xdr:rowOff>
    </xdr:from>
    <xdr:to>
      <xdr:col>5</xdr:col>
      <xdr:colOff>161925</xdr:colOff>
      <xdr:row>9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8DF71FA-3482-11F4-5E76-34839398E0EB}"/>
            </a:ext>
          </a:extLst>
        </xdr:cNvPr>
        <xdr:cNvSpPr txBox="1"/>
      </xdr:nvSpPr>
      <xdr:spPr>
        <a:xfrm>
          <a:off x="285750" y="285750"/>
          <a:ext cx="6753225" cy="1533525"/>
        </a:xfrm>
        <a:prstGeom prst="rect">
          <a:avLst/>
        </a:prstGeom>
        <a:solidFill>
          <a:srgbClr val="F0789A"/>
        </a:solidFill>
        <a:ln w="38100" cmpd="sng">
          <a:solidFill>
            <a:srgbClr val="FBD9E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800" b="1">
              <a:solidFill>
                <a:schemeClr val="bg1"/>
              </a:solidFill>
            </a:rPr>
            <a:t>ESPANTA SERASA</a:t>
          </a:r>
        </a:p>
      </xdr:txBody>
    </xdr:sp>
    <xdr:clientData/>
  </xdr:twoCellAnchor>
  <xdr:twoCellAnchor>
    <xdr:from>
      <xdr:col>1</xdr:col>
      <xdr:colOff>304800</xdr:colOff>
      <xdr:row>57</xdr:row>
      <xdr:rowOff>123824</xdr:rowOff>
    </xdr:from>
    <xdr:to>
      <xdr:col>4</xdr:col>
      <xdr:colOff>276225</xdr:colOff>
      <xdr:row>73</xdr:row>
      <xdr:rowOff>114299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7B44F4-F99E-6BB7-9662-EDEE0026F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428625</xdr:colOff>
      <xdr:row>29</xdr:row>
      <xdr:rowOff>142875</xdr:rowOff>
    </xdr:from>
    <xdr:to>
      <xdr:col>2</xdr:col>
      <xdr:colOff>466725</xdr:colOff>
      <xdr:row>44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DADDED1-558F-EFFA-CEFD-07ACF6B7E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552450</xdr:colOff>
      <xdr:row>29</xdr:row>
      <xdr:rowOff>152400</xdr:rowOff>
    </xdr:from>
    <xdr:to>
      <xdr:col>7</xdr:col>
      <xdr:colOff>38100</xdr:colOff>
      <xdr:row>44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1208B4B-6FB6-B828-917C-C53DB9432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9A07-3C5F-45E1-AFEB-A1DB06CC6AC9}">
  <dimension ref="A11:H82"/>
  <sheetViews>
    <sheetView showGridLines="0" tabSelected="1" topLeftCell="A62" zoomScaleNormal="100" workbookViewId="0">
      <selection activeCell="D85" sqref="D85"/>
    </sheetView>
  </sheetViews>
  <sheetFormatPr defaultColWidth="0" defaultRowHeight="15" x14ac:dyDescent="0.25"/>
  <cols>
    <col min="1" max="1" width="9.140625" customWidth="1"/>
    <col min="2" max="2" width="43.28515625" customWidth="1"/>
    <col min="3" max="3" width="31.28515625" bestFit="1" customWidth="1"/>
    <col min="4" max="4" width="22.7109375" customWidth="1"/>
    <col min="5" max="5" width="5" customWidth="1"/>
    <col min="6" max="6" width="4.28515625" customWidth="1"/>
    <col min="7" max="7" width="3.28515625" customWidth="1"/>
    <col min="8" max="8" width="3.7109375" customWidth="1"/>
    <col min="9" max="11" width="9.140625" hidden="1" customWidth="1"/>
    <col min="12" max="16384" width="9.140625" hidden="1"/>
  </cols>
  <sheetData>
    <row r="11" spans="2:4" ht="15.75" thickBot="1" x14ac:dyDescent="0.3"/>
    <row r="12" spans="2:4" ht="27" customHeight="1" x14ac:dyDescent="0.25">
      <c r="B12" s="44" t="s">
        <v>15</v>
      </c>
      <c r="C12" s="45"/>
      <c r="D12" s="46"/>
    </row>
    <row r="13" spans="2:4" ht="16.5" customHeight="1" thickBot="1" x14ac:dyDescent="0.35">
      <c r="B13" s="53" t="s">
        <v>13</v>
      </c>
      <c r="C13" s="54"/>
      <c r="D13" s="4">
        <v>2000</v>
      </c>
    </row>
    <row r="14" spans="2:4" ht="16.5" customHeight="1" thickBot="1" x14ac:dyDescent="0.35">
      <c r="B14" s="47" t="s">
        <v>14</v>
      </c>
      <c r="C14" s="48"/>
      <c r="D14" s="57">
        <v>7.9000000000000008E-3</v>
      </c>
    </row>
    <row r="15" spans="2:4" ht="16.5" customHeight="1" thickBot="1" x14ac:dyDescent="0.35">
      <c r="B15" s="55" t="s">
        <v>61</v>
      </c>
      <c r="C15" s="56"/>
      <c r="D15" s="5">
        <f>D13*0.3</f>
        <v>600</v>
      </c>
    </row>
    <row r="16" spans="2:4" ht="16.5" customHeight="1" thickBot="1" x14ac:dyDescent="0.3"/>
    <row r="17" spans="1:8" ht="33" customHeight="1" x14ac:dyDescent="0.25">
      <c r="B17" s="41" t="s">
        <v>4</v>
      </c>
      <c r="C17" s="42"/>
      <c r="D17" s="43"/>
    </row>
    <row r="18" spans="1:8" ht="18" thickBot="1" x14ac:dyDescent="0.35">
      <c r="B18" s="53" t="s">
        <v>0</v>
      </c>
      <c r="C18" s="54"/>
      <c r="D18" s="6">
        <v>500</v>
      </c>
      <c r="H18" t="s">
        <v>12</v>
      </c>
    </row>
    <row r="19" spans="1:8" ht="18" thickBot="1" x14ac:dyDescent="0.35">
      <c r="B19" s="47" t="s">
        <v>1</v>
      </c>
      <c r="C19" s="48"/>
      <c r="D19" s="7">
        <v>5</v>
      </c>
    </row>
    <row r="20" spans="1:8" ht="18" thickBot="1" x14ac:dyDescent="0.35">
      <c r="B20" s="47" t="s">
        <v>62</v>
      </c>
      <c r="C20" s="48"/>
      <c r="D20" s="8">
        <v>7.9000000000000008E-3</v>
      </c>
    </row>
    <row r="21" spans="1:8" ht="18" thickBot="1" x14ac:dyDescent="0.35">
      <c r="B21" s="49" t="s">
        <v>2</v>
      </c>
      <c r="C21" s="50"/>
      <c r="D21" s="9">
        <f>FV(taxa_mensal,qtd_anos*12,-aporte)</f>
        <v>38191.002714354283</v>
      </c>
    </row>
    <row r="22" spans="1:8" ht="18" thickBot="1" x14ac:dyDescent="0.35">
      <c r="B22" s="51" t="s">
        <v>3</v>
      </c>
      <c r="C22" s="52"/>
      <c r="D22" s="10">
        <f>patrimonio*rendimento_carteira</f>
        <v>301.70892144339888</v>
      </c>
    </row>
    <row r="23" spans="1:8" ht="15.75" thickBot="1" x14ac:dyDescent="0.3"/>
    <row r="24" spans="1:8" ht="28.5" customHeight="1" x14ac:dyDescent="0.25">
      <c r="B24" s="41" t="s">
        <v>10</v>
      </c>
      <c r="C24" s="42"/>
      <c r="D24" s="3" t="s">
        <v>11</v>
      </c>
      <c r="H24" t="s">
        <v>12</v>
      </c>
    </row>
    <row r="25" spans="1:8" ht="18" thickBot="1" x14ac:dyDescent="0.35">
      <c r="A25" s="2">
        <v>2</v>
      </c>
      <c r="B25" s="11" t="s">
        <v>5</v>
      </c>
      <c r="C25" s="12">
        <f>FV($D$20,$A25*12,-$D$18)</f>
        <v>13156.06332649959</v>
      </c>
      <c r="D25" s="13">
        <f>C25*rendimento_carteira</f>
        <v>103.93290027934677</v>
      </c>
    </row>
    <row r="26" spans="1:8" ht="18" thickBot="1" x14ac:dyDescent="0.35">
      <c r="A26" s="2">
        <v>5</v>
      </c>
      <c r="B26" s="14" t="s">
        <v>6</v>
      </c>
      <c r="C26" s="15">
        <f>FV($D$20,$A26*12,-$D$18)</f>
        <v>38191.002714354283</v>
      </c>
      <c r="D26" s="16">
        <f>C26*rendimento_carteira</f>
        <v>301.70892144339888</v>
      </c>
    </row>
    <row r="27" spans="1:8" ht="18" thickBot="1" x14ac:dyDescent="0.35">
      <c r="A27" s="2">
        <v>10</v>
      </c>
      <c r="B27" s="14" t="s">
        <v>8</v>
      </c>
      <c r="C27" s="15">
        <f>FV($D$20,$A27*12,-$D$18)</f>
        <v>99427.137904288073</v>
      </c>
      <c r="D27" s="16">
        <f>C27*rendimento_carteira</f>
        <v>785.47438944387591</v>
      </c>
    </row>
    <row r="28" spans="1:8" ht="18" thickBot="1" x14ac:dyDescent="0.35">
      <c r="A28" s="2">
        <v>20</v>
      </c>
      <c r="B28" s="14" t="s">
        <v>7</v>
      </c>
      <c r="C28" s="15">
        <f>FV($D$20,$A28*12,-$D$18)</f>
        <v>355049.21668762161</v>
      </c>
      <c r="D28" s="16">
        <f>C28*rendimento_carteira</f>
        <v>2804.8888118322111</v>
      </c>
    </row>
    <row r="29" spans="1:8" ht="18" thickBot="1" x14ac:dyDescent="0.35">
      <c r="A29" s="2">
        <v>30</v>
      </c>
      <c r="B29" s="17" t="s">
        <v>9</v>
      </c>
      <c r="C29" s="18">
        <f>FV($D$20,$A29*12,-$D$18)</f>
        <v>1012240.4879923818</v>
      </c>
      <c r="D29" s="19">
        <f>C29*rendimento_carteira</f>
        <v>7996.6998551398174</v>
      </c>
    </row>
    <row r="42" spans="2:5" x14ac:dyDescent="0.25">
      <c r="E42" s="29"/>
    </row>
    <row r="46" spans="2:5" x14ac:dyDescent="0.25">
      <c r="B46" s="23" t="s">
        <v>43</v>
      </c>
      <c r="C46" s="24" t="s">
        <v>44</v>
      </c>
      <c r="D46" s="24"/>
    </row>
    <row r="47" spans="2:5" x14ac:dyDescent="0.25">
      <c r="B47" s="25" t="s">
        <v>47</v>
      </c>
      <c r="C47" s="26">
        <f>aporte</f>
        <v>500</v>
      </c>
      <c r="D47" s="26"/>
    </row>
    <row r="49" spans="2:4" x14ac:dyDescent="0.25">
      <c r="B49" s="27" t="s">
        <v>48</v>
      </c>
      <c r="C49" s="27" t="s">
        <v>49</v>
      </c>
      <c r="D49" s="27" t="s">
        <v>50</v>
      </c>
    </row>
    <row r="50" spans="2:4" x14ac:dyDescent="0.25">
      <c r="B50" s="1" t="s">
        <v>52</v>
      </c>
      <c r="C50" s="31">
        <f>VLOOKUP($C$46&amp;"-"&amp;$B50,Planilha3!$B$3:$E$20,4,0)</f>
        <v>0.32</v>
      </c>
      <c r="D50" s="32">
        <f t="shared" ref="D50:D55" si="0">C50*$C$47</f>
        <v>160</v>
      </c>
    </row>
    <row r="51" spans="2:4" x14ac:dyDescent="0.25">
      <c r="B51" s="1" t="s">
        <v>51</v>
      </c>
      <c r="C51" s="31">
        <f>VLOOKUP($C$46&amp;"-"&amp;$B51,Planilha3!$B$3:$E$20,4,0)</f>
        <v>0.35</v>
      </c>
      <c r="D51" s="32">
        <f t="shared" si="0"/>
        <v>175</v>
      </c>
    </row>
    <row r="52" spans="2:4" x14ac:dyDescent="0.25">
      <c r="B52" s="1" t="s">
        <v>53</v>
      </c>
      <c r="C52" s="31">
        <f>VLOOKUP($C$46&amp;"-"&amp;$B52,Planilha3!$B$3:$E$20,4,0)</f>
        <v>0.08</v>
      </c>
      <c r="D52" s="32">
        <f t="shared" si="0"/>
        <v>40</v>
      </c>
    </row>
    <row r="53" spans="2:4" x14ac:dyDescent="0.25">
      <c r="B53" s="1" t="s">
        <v>54</v>
      </c>
      <c r="C53" s="31">
        <f>VLOOKUP($C$46&amp;"-"&amp;$B53,Planilha3!$B$3:$E$20,4,0)</f>
        <v>0.05</v>
      </c>
      <c r="D53" s="32">
        <f t="shared" si="0"/>
        <v>25</v>
      </c>
    </row>
    <row r="54" spans="2:4" x14ac:dyDescent="0.25">
      <c r="B54" s="1" t="s">
        <v>55</v>
      </c>
      <c r="C54" s="31">
        <f>VLOOKUP($C$46&amp;"-"&amp;$B54,Planilha3!$B$3:$E$20,4,0)</f>
        <v>0.1</v>
      </c>
      <c r="D54" s="32">
        <f t="shared" si="0"/>
        <v>50</v>
      </c>
    </row>
    <row r="55" spans="2:4" x14ac:dyDescent="0.25">
      <c r="B55" s="1" t="s">
        <v>56</v>
      </c>
      <c r="C55" s="31">
        <f>VLOOKUP($C$46&amp;"-"&amp;$B55,Planilha3!$B$3:$E$20,4,0)</f>
        <v>0.1</v>
      </c>
      <c r="D55" s="32">
        <f t="shared" si="0"/>
        <v>50</v>
      </c>
    </row>
    <row r="56" spans="2:4" x14ac:dyDescent="0.25">
      <c r="B56" s="28"/>
      <c r="C56" s="28"/>
      <c r="D56" s="30">
        <f>SUM(D50:D55)</f>
        <v>500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81" customFormat="1" x14ac:dyDescent="0.25"/>
    <row r="82" customFormat="1" x14ac:dyDescent="0.25"/>
  </sheetData>
  <mergeCells count="11">
    <mergeCell ref="B24:C24"/>
    <mergeCell ref="B17:D17"/>
    <mergeCell ref="B12:D12"/>
    <mergeCell ref="B20:C20"/>
    <mergeCell ref="B21:C21"/>
    <mergeCell ref="B22:C22"/>
    <mergeCell ref="B13:C13"/>
    <mergeCell ref="B14:C14"/>
    <mergeCell ref="B15:C15"/>
    <mergeCell ref="B18:C18"/>
    <mergeCell ref="B19:C19"/>
  </mergeCells>
  <dataValidations count="1">
    <dataValidation type="list" allowBlank="1" showInputMessage="1" showErrorMessage="1" sqref="C46" xr:uid="{1E471586-8E00-4CF2-B495-D9936503AB0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B9A9-2161-4E42-931B-EF5DE7D566B4}">
  <dimension ref="B2:H1048576"/>
  <sheetViews>
    <sheetView workbookViewId="0">
      <selection activeCell="H12" sqref="H12"/>
    </sheetView>
  </sheetViews>
  <sheetFormatPr defaultRowHeight="15" x14ac:dyDescent="0.25"/>
  <cols>
    <col min="2" max="2" width="31.28515625" bestFit="1" customWidth="1"/>
    <col min="3" max="3" width="12.140625" bestFit="1" customWidth="1"/>
    <col min="4" max="4" width="19" bestFit="1" customWidth="1"/>
    <col min="8" max="8" width="18.5703125" customWidth="1"/>
    <col min="9" max="9" width="7.28515625" customWidth="1"/>
  </cols>
  <sheetData>
    <row r="2" spans="2:8" x14ac:dyDescent="0.25">
      <c r="B2" s="39" t="s">
        <v>59</v>
      </c>
      <c r="C2" s="39" t="s">
        <v>57</v>
      </c>
      <c r="D2" s="40" t="s">
        <v>48</v>
      </c>
      <c r="E2" s="40" t="s">
        <v>58</v>
      </c>
    </row>
    <row r="3" spans="2:8" x14ac:dyDescent="0.25">
      <c r="B3" t="str">
        <f>C3&amp;"-"&amp;D3</f>
        <v>Conservador-PAPEL</v>
      </c>
      <c r="C3" t="s">
        <v>45</v>
      </c>
      <c r="D3" s="1" t="s">
        <v>52</v>
      </c>
      <c r="E3" s="31">
        <v>0.3</v>
      </c>
      <c r="H3" s="37" t="s">
        <v>60</v>
      </c>
    </row>
    <row r="4" spans="2:8" x14ac:dyDescent="0.25">
      <c r="B4" t="str">
        <f t="shared" ref="B4:B20" si="0">C4&amp;"-"&amp;D4</f>
        <v>Conservador-TIJOLO</v>
      </c>
      <c r="C4" t="s">
        <v>45</v>
      </c>
      <c r="D4" s="1" t="s">
        <v>51</v>
      </c>
      <c r="E4" s="31">
        <v>0.5</v>
      </c>
      <c r="G4" s="36" t="s">
        <v>58</v>
      </c>
      <c r="H4" s="38">
        <f>VLOOKUP(H3,$B$3:$E$20,4,0)</f>
        <v>0.35</v>
      </c>
    </row>
    <row r="5" spans="2:8" x14ac:dyDescent="0.25">
      <c r="B5" t="str">
        <f t="shared" si="0"/>
        <v>Conservador-HÍBRIDOS</v>
      </c>
      <c r="C5" t="s">
        <v>45</v>
      </c>
      <c r="D5" s="1" t="s">
        <v>53</v>
      </c>
      <c r="E5" s="31">
        <v>0.1</v>
      </c>
    </row>
    <row r="6" spans="2:8" x14ac:dyDescent="0.25">
      <c r="B6" t="str">
        <f t="shared" si="0"/>
        <v>Conservador-FOFs</v>
      </c>
      <c r="C6" t="s">
        <v>45</v>
      </c>
      <c r="D6" s="1" t="s">
        <v>54</v>
      </c>
      <c r="E6" s="31">
        <v>0.1</v>
      </c>
    </row>
    <row r="7" spans="2:8" x14ac:dyDescent="0.25">
      <c r="B7" t="str">
        <f t="shared" si="0"/>
        <v>Conservador-DESENVOLVIMENTO</v>
      </c>
      <c r="C7" t="s">
        <v>45</v>
      </c>
      <c r="D7" s="1" t="s">
        <v>55</v>
      </c>
      <c r="E7" s="31">
        <v>0</v>
      </c>
    </row>
    <row r="8" spans="2:8" ht="15.75" thickBot="1" x14ac:dyDescent="0.3">
      <c r="B8" s="33" t="str">
        <f t="shared" si="0"/>
        <v>Conservador-HOTELARIAS</v>
      </c>
      <c r="C8" s="33" t="s">
        <v>45</v>
      </c>
      <c r="D8" s="34" t="s">
        <v>56</v>
      </c>
      <c r="E8" s="35">
        <v>0</v>
      </c>
    </row>
    <row r="9" spans="2:8" x14ac:dyDescent="0.25">
      <c r="B9" t="str">
        <f t="shared" si="0"/>
        <v>Moderado-PAPEL</v>
      </c>
      <c r="C9" t="s">
        <v>44</v>
      </c>
      <c r="D9" s="1" t="s">
        <v>52</v>
      </c>
      <c r="E9" s="31">
        <v>0.32</v>
      </c>
    </row>
    <row r="10" spans="2:8" x14ac:dyDescent="0.25">
      <c r="B10" t="str">
        <f t="shared" si="0"/>
        <v>Moderado-TIJOLO</v>
      </c>
      <c r="C10" t="s">
        <v>44</v>
      </c>
      <c r="D10" s="1" t="s">
        <v>51</v>
      </c>
      <c r="E10" s="31">
        <v>0.35</v>
      </c>
    </row>
    <row r="11" spans="2:8" x14ac:dyDescent="0.25">
      <c r="B11" t="str">
        <f t="shared" si="0"/>
        <v>Moderado-HÍBRIDOS</v>
      </c>
      <c r="C11" t="s">
        <v>44</v>
      </c>
      <c r="D11" s="1" t="s">
        <v>53</v>
      </c>
      <c r="E11" s="31">
        <v>0.08</v>
      </c>
    </row>
    <row r="12" spans="2:8" x14ac:dyDescent="0.25">
      <c r="B12" t="str">
        <f t="shared" si="0"/>
        <v>Moderado-FOFs</v>
      </c>
      <c r="C12" t="s">
        <v>44</v>
      </c>
      <c r="D12" s="1" t="s">
        <v>54</v>
      </c>
      <c r="E12" s="31">
        <v>0.05</v>
      </c>
    </row>
    <row r="13" spans="2:8" x14ac:dyDescent="0.25">
      <c r="B13" t="str">
        <f t="shared" si="0"/>
        <v>Moderado-DESENVOLVIMENTO</v>
      </c>
      <c r="C13" t="s">
        <v>44</v>
      </c>
      <c r="D13" s="1" t="s">
        <v>55</v>
      </c>
      <c r="E13" s="31">
        <v>0.1</v>
      </c>
    </row>
    <row r="14" spans="2:8" ht="15.75" thickBot="1" x14ac:dyDescent="0.3">
      <c r="B14" s="33" t="str">
        <f t="shared" si="0"/>
        <v>Moderado-HOTELARIAS</v>
      </c>
      <c r="C14" s="33" t="s">
        <v>44</v>
      </c>
      <c r="D14" s="34" t="s">
        <v>56</v>
      </c>
      <c r="E14" s="35">
        <v>0.1</v>
      </c>
    </row>
    <row r="15" spans="2:8" x14ac:dyDescent="0.25">
      <c r="B15" t="str">
        <f t="shared" si="0"/>
        <v>Agressivo-PAPEL</v>
      </c>
      <c r="C15" t="s">
        <v>46</v>
      </c>
      <c r="D15" s="1" t="s">
        <v>52</v>
      </c>
      <c r="E15" s="31">
        <v>0.5</v>
      </c>
    </row>
    <row r="16" spans="2:8" x14ac:dyDescent="0.25">
      <c r="B16" t="str">
        <f t="shared" si="0"/>
        <v>Agressivo-TIJOLO</v>
      </c>
      <c r="C16" t="s">
        <v>46</v>
      </c>
      <c r="D16" s="1" t="s">
        <v>51</v>
      </c>
      <c r="E16" s="31">
        <v>0.1</v>
      </c>
    </row>
    <row r="17" spans="2:5" x14ac:dyDescent="0.25">
      <c r="B17" t="str">
        <f t="shared" si="0"/>
        <v>Agressivo-HÍBRIDOS</v>
      </c>
      <c r="C17" t="s">
        <v>46</v>
      </c>
      <c r="D17" s="1" t="s">
        <v>53</v>
      </c>
      <c r="E17" s="31">
        <v>0.05</v>
      </c>
    </row>
    <row r="18" spans="2:5" x14ac:dyDescent="0.25">
      <c r="B18" t="str">
        <f t="shared" si="0"/>
        <v>Agressivo-FOFs</v>
      </c>
      <c r="C18" t="s">
        <v>46</v>
      </c>
      <c r="D18" s="1" t="s">
        <v>54</v>
      </c>
      <c r="E18" s="31">
        <v>0.05</v>
      </c>
    </row>
    <row r="19" spans="2:5" x14ac:dyDescent="0.25">
      <c r="B19" t="str">
        <f t="shared" si="0"/>
        <v>Agressivo-DESENVOLVIMENTO</v>
      </c>
      <c r="C19" t="s">
        <v>46</v>
      </c>
      <c r="D19" s="1" t="s">
        <v>55</v>
      </c>
      <c r="E19" s="31">
        <v>0.2</v>
      </c>
    </row>
    <row r="20" spans="2:5" x14ac:dyDescent="0.25">
      <c r="B20" t="str">
        <f t="shared" si="0"/>
        <v>Agressivo-HOTELARIAS</v>
      </c>
      <c r="C20" t="s">
        <v>46</v>
      </c>
      <c r="D20" s="1" t="s">
        <v>56</v>
      </c>
      <c r="E20" s="31">
        <v>0.1</v>
      </c>
    </row>
    <row r="1048576" spans="3:3" x14ac:dyDescent="0.25">
      <c r="C1048576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C99A-7CA4-40B6-A457-E2C854A2A561}">
  <dimension ref="D5:F13"/>
  <sheetViews>
    <sheetView workbookViewId="0">
      <selection activeCell="F15" sqref="F15"/>
    </sheetView>
  </sheetViews>
  <sheetFormatPr defaultRowHeight="15" x14ac:dyDescent="0.25"/>
  <cols>
    <col min="4" max="4" width="23.28515625" bestFit="1" customWidth="1"/>
    <col min="5" max="5" width="33.42578125" customWidth="1"/>
    <col min="6" max="6" width="39.5703125" customWidth="1"/>
  </cols>
  <sheetData>
    <row r="5" spans="4:6" ht="29.25" customHeight="1" x14ac:dyDescent="0.25">
      <c r="D5" s="20" t="s">
        <v>16</v>
      </c>
      <c r="E5" s="20" t="s">
        <v>17</v>
      </c>
      <c r="F5" s="20" t="s">
        <v>18</v>
      </c>
    </row>
    <row r="6" spans="4:6" ht="50.1" customHeight="1" x14ac:dyDescent="0.25">
      <c r="D6" s="22" t="s">
        <v>19</v>
      </c>
      <c r="E6" s="21" t="s">
        <v>20</v>
      </c>
      <c r="F6" s="21" t="s">
        <v>21</v>
      </c>
    </row>
    <row r="7" spans="4:6" ht="50.1" customHeight="1" x14ac:dyDescent="0.25">
      <c r="D7" s="22" t="s">
        <v>22</v>
      </c>
      <c r="E7" s="21" t="s">
        <v>23</v>
      </c>
      <c r="F7" s="21" t="s">
        <v>24</v>
      </c>
    </row>
    <row r="8" spans="4:6" ht="50.1" customHeight="1" x14ac:dyDescent="0.25">
      <c r="D8" s="22" t="s">
        <v>25</v>
      </c>
      <c r="E8" s="21" t="s">
        <v>26</v>
      </c>
      <c r="F8" s="21" t="s">
        <v>27</v>
      </c>
    </row>
    <row r="9" spans="4:6" ht="50.1" customHeight="1" x14ac:dyDescent="0.25">
      <c r="D9" s="22" t="s">
        <v>28</v>
      </c>
      <c r="E9" s="21" t="s">
        <v>29</v>
      </c>
      <c r="F9" s="21" t="s">
        <v>30</v>
      </c>
    </row>
    <row r="10" spans="4:6" ht="50.1" customHeight="1" x14ac:dyDescent="0.25">
      <c r="D10" s="22" t="s">
        <v>31</v>
      </c>
      <c r="E10" s="21" t="s">
        <v>32</v>
      </c>
      <c r="F10" s="21" t="s">
        <v>33</v>
      </c>
    </row>
    <row r="11" spans="4:6" ht="50.1" customHeight="1" x14ac:dyDescent="0.25">
      <c r="D11" s="22" t="s">
        <v>34</v>
      </c>
      <c r="E11" s="21" t="s">
        <v>35</v>
      </c>
      <c r="F11" s="21" t="s">
        <v>36</v>
      </c>
    </row>
    <row r="12" spans="4:6" ht="50.1" customHeight="1" x14ac:dyDescent="0.25">
      <c r="D12" s="22" t="s">
        <v>37</v>
      </c>
      <c r="E12" s="21" t="s">
        <v>38</v>
      </c>
      <c r="F12" s="21" t="s">
        <v>39</v>
      </c>
    </row>
    <row r="13" spans="4:6" ht="50.1" customHeight="1" x14ac:dyDescent="0.25">
      <c r="D13" s="22" t="s">
        <v>40</v>
      </c>
      <c r="E13" s="21" t="s">
        <v>41</v>
      </c>
      <c r="F13" s="21" t="s">
        <v>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Planilha1</vt:lpstr>
      <vt:lpstr>Planilha3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castrinlobo@outlook.com</dc:creator>
  <cp:lastModifiedBy>castrinlobo@outlook.com</cp:lastModifiedBy>
  <dcterms:created xsi:type="dcterms:W3CDTF">2025-12-18T21:39:04Z</dcterms:created>
  <dcterms:modified xsi:type="dcterms:W3CDTF">2025-12-23T12:48:30Z</dcterms:modified>
</cp:coreProperties>
</file>